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gandeep.chawla\Desktop\ROI Sample\"/>
    </mc:Choice>
  </mc:AlternateContent>
  <xr:revisionPtr revIDLastSave="0" documentId="13_ncr:1_{8BF37777-BF63-456F-8031-8733AE48A8FE}" xr6:coauthVersionLast="45" xr6:coauthVersionMax="45" xr10:uidLastSave="{00000000-0000-0000-0000-000000000000}"/>
  <bookViews>
    <workbookView xWindow="-120" yWindow="-120" windowWidth="20730" windowHeight="11160" activeTab="2" xr2:uid="{0C88F3C9-F337-4CCB-8056-82FF7CAA3EF5}"/>
  </bookViews>
  <sheets>
    <sheet name="Sheet1" sheetId="1" r:id="rId1"/>
    <sheet name="Lookup" sheetId="7" r:id="rId2"/>
    <sheet name="ROI Calculator" sheetId="6" r:id="rId3"/>
    <sheet name="Sheet7" sheetId="8" r:id="rId4"/>
    <sheet name="Sheet2" sheetId="9" r:id="rId5"/>
    <sheet name="Sheet3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7" l="1"/>
  <c r="K4" i="7" s="1"/>
  <c r="K6" i="7" s="1"/>
  <c r="J17" i="6" s="1"/>
  <c r="G14" i="1"/>
  <c r="G15" i="1"/>
  <c r="J9" i="6" l="1"/>
  <c r="J13" i="6"/>
  <c r="N13" i="1"/>
  <c r="N15" i="1" l="1"/>
  <c r="H16" i="1"/>
  <c r="H15" i="1"/>
  <c r="H14" i="1"/>
  <c r="I15" i="1" l="1"/>
  <c r="I17" i="1" s="1"/>
  <c r="H17" i="1"/>
  <c r="I14" i="1"/>
  <c r="I12" i="1"/>
  <c r="I10" i="1" s="1"/>
  <c r="H12" i="1"/>
  <c r="G12" i="1"/>
  <c r="I11" i="1"/>
  <c r="H11" i="1"/>
  <c r="G11" i="1"/>
  <c r="G17" i="1" s="1"/>
  <c r="G18" i="1" s="1"/>
  <c r="H10" i="1"/>
  <c r="I4" i="1"/>
  <c r="H4" i="1"/>
  <c r="G4" i="1"/>
  <c r="G13" i="1" l="1"/>
  <c r="G16" i="1" s="1"/>
  <c r="I16" i="1"/>
  <c r="K7" i="7"/>
  <c r="K8" i="7" l="1"/>
  <c r="G6" i="7"/>
  <c r="G8" i="7" s="1"/>
</calcChain>
</file>

<file path=xl/sharedStrings.xml><?xml version="1.0" encoding="utf-8"?>
<sst xmlns="http://schemas.openxmlformats.org/spreadsheetml/2006/main" count="68" uniqueCount="56">
  <si>
    <t>HC</t>
  </si>
  <si>
    <t>Benefit%</t>
  </si>
  <si>
    <t>FTE Benefit</t>
  </si>
  <si>
    <t>Intents Considered</t>
  </si>
  <si>
    <t>Volumes/Month</t>
  </si>
  <si>
    <t>Dev cost</t>
  </si>
  <si>
    <t>Hypercare</t>
  </si>
  <si>
    <t>Support</t>
  </si>
  <si>
    <t>API Cost</t>
  </si>
  <si>
    <t>AWS</t>
  </si>
  <si>
    <t>Total Cost</t>
  </si>
  <si>
    <t>Margin (45% dev / support, 25% vendor, licence etc.)</t>
  </si>
  <si>
    <t>Gross Benefit</t>
  </si>
  <si>
    <t>Net Benefit</t>
  </si>
  <si>
    <t>ROI for One Plus</t>
  </si>
  <si>
    <t>ROI (Annualized)</t>
  </si>
  <si>
    <t>Speedometer</t>
  </si>
  <si>
    <t>Start</t>
  </si>
  <si>
    <t>End</t>
  </si>
  <si>
    <t>Max</t>
  </si>
  <si>
    <t>Pointer</t>
  </si>
  <si>
    <t>Value</t>
  </si>
  <si>
    <t>yellow</t>
  </si>
  <si>
    <t>25-35</t>
  </si>
  <si>
    <t>green</t>
  </si>
  <si>
    <t>20-23</t>
  </si>
  <si>
    <t>purple</t>
  </si>
  <si>
    <t>red</t>
  </si>
  <si>
    <t>10-18</t>
  </si>
  <si>
    <t>light green</t>
  </si>
  <si>
    <t>&gt;35</t>
  </si>
  <si>
    <t>23-25</t>
  </si>
  <si>
    <t>light yellow</t>
  </si>
  <si>
    <t>18-20</t>
  </si>
  <si>
    <t>Head Count</t>
  </si>
  <si>
    <t>Agent Salary</t>
  </si>
  <si>
    <t>ROI Score</t>
  </si>
  <si>
    <t>Poor</t>
  </si>
  <si>
    <t>Low</t>
  </si>
  <si>
    <t>Fair</t>
  </si>
  <si>
    <t>Neutral</t>
  </si>
  <si>
    <t>Good</t>
  </si>
  <si>
    <t>Excellent</t>
  </si>
  <si>
    <t>High</t>
  </si>
  <si>
    <t>Investment</t>
  </si>
  <si>
    <t>Net Return</t>
  </si>
  <si>
    <t>Overall</t>
  </si>
  <si>
    <t>Year1</t>
  </si>
  <si>
    <t>Benefit</t>
  </si>
  <si>
    <t>Intents</t>
  </si>
  <si>
    <t>Volumes</t>
  </si>
  <si>
    <t>Year2</t>
  </si>
  <si>
    <t>Year3</t>
  </si>
  <si>
    <t>Derived Values</t>
  </si>
  <si>
    <t>Input Data</t>
  </si>
  <si>
    <t>Cost with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</si>
</sst>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_-[$$-409]* #,##0.0_ ;_-[$$-409]* \-#,##0.0\ ;_-[$$-409]* &quot;-&quot;??_ ;_-@_ "/>
    <numFmt numFmtId="166" formatCode="_-[$$-409]* #,##0.00_ ;_-[$$-409]* \-#,##0.00\ ;_-[$$-409]* &quot;-&quot;??_ ;_-@_ "/>
    <numFmt numFmtId="167" formatCode="&quot;$&quot;\ 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rgb="FFFF0000"/>
      <name val="Calibri"/>
      <family val="2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9840"/>
        <bgColor indexed="64"/>
      </patternFill>
    </fill>
    <fill>
      <patternFill patternType="solid">
        <fgColor rgb="FF55AED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165" fontId="5" fillId="3" borderId="1" xfId="0" applyNumberFormat="1" applyFont="1" applyFill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166" fontId="9" fillId="0" borderId="1" xfId="0" applyNumberFormat="1" applyFont="1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166" fontId="2" fillId="4" borderId="1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0" fillId="0" borderId="0" xfId="0" applyBorder="1"/>
    <xf numFmtId="0" fontId="0" fillId="0" borderId="1" xfId="0" applyBorder="1"/>
    <xf numFmtId="2" fontId="0" fillId="0" borderId="1" xfId="0" applyNumberFormat="1" applyBorder="1"/>
    <xf numFmtId="0" fontId="0" fillId="6" borderId="3" xfId="0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0" fillId="6" borderId="7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6" borderId="6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10" fillId="0" borderId="0" xfId="0" applyFont="1" applyFill="1" applyBorder="1" applyAlignment="1"/>
    <xf numFmtId="16" fontId="0" fillId="0" borderId="1" xfId="0" quotePrefix="1" applyNumberFormat="1" applyBorder="1"/>
    <xf numFmtId="0" fontId="10" fillId="0" borderId="0" xfId="0" applyFont="1" applyFill="1" applyBorder="1" applyAlignment="1" applyProtection="1">
      <alignment horizontal="center" vertical="center"/>
      <protection locked="0"/>
    </xf>
    <xf numFmtId="2" fontId="12" fillId="7" borderId="9" xfId="0" applyNumberFormat="1" applyFont="1" applyFill="1" applyBorder="1" applyAlignment="1" applyProtection="1">
      <alignment horizontal="center" vertical="center"/>
      <protection locked="0"/>
    </xf>
    <xf numFmtId="0" fontId="11" fillId="8" borderId="8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6" borderId="11" xfId="0" applyFill="1" applyBorder="1" applyProtection="1">
      <protection locked="0"/>
    </xf>
    <xf numFmtId="0" fontId="0" fillId="6" borderId="1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6" borderId="13" xfId="0" applyFill="1" applyBorder="1" applyProtection="1">
      <protection locked="0"/>
    </xf>
    <xf numFmtId="0" fontId="10" fillId="5" borderId="14" xfId="0" applyFont="1" applyFill="1" applyBorder="1" applyAlignment="1"/>
    <xf numFmtId="0" fontId="0" fillId="0" borderId="14" xfId="0" applyBorder="1"/>
    <xf numFmtId="0" fontId="16" fillId="0" borderId="0" xfId="0" applyFont="1"/>
    <xf numFmtId="9" fontId="16" fillId="0" borderId="0" xfId="0" applyNumberFormat="1" applyFont="1"/>
    <xf numFmtId="0" fontId="13" fillId="0" borderId="0" xfId="0" applyFont="1" applyFill="1" applyBorder="1" applyAlignment="1" applyProtection="1">
      <alignment horizontal="center" vertical="center"/>
    </xf>
    <xf numFmtId="9" fontId="0" fillId="0" borderId="0" xfId="0" applyNumberFormat="1" applyBorder="1"/>
    <xf numFmtId="2" fontId="0" fillId="0" borderId="14" xfId="0" applyNumberFormat="1" applyBorder="1"/>
    <xf numFmtId="0" fontId="0" fillId="0" borderId="14" xfId="0" applyBorder="1" applyAlignment="1">
      <alignment horizontal="right"/>
    </xf>
    <xf numFmtId="167" fontId="12" fillId="7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10" fillId="5" borderId="1" xfId="0" applyFont="1" applyFill="1" applyBorder="1" applyAlignment="1">
      <alignment horizontal="left"/>
    </xf>
    <xf numFmtId="0" fontId="10" fillId="5" borderId="14" xfId="0" applyFont="1" applyFill="1" applyBorder="1" applyAlignment="1">
      <alignment horizontal="left"/>
    </xf>
    <xf numFmtId="0" fontId="14" fillId="9" borderId="15" xfId="0" applyFont="1" applyFill="1" applyBorder="1" applyAlignment="1">
      <alignment horizontal="left"/>
    </xf>
    <xf numFmtId="0" fontId="14" fillId="9" borderId="16" xfId="0" applyFont="1" applyFill="1" applyBorder="1" applyAlignment="1">
      <alignment horizontal="left"/>
    </xf>
    <xf numFmtId="0" fontId="0" fillId="6" borderId="3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55AEDB"/>
      <color rgb="FF6A6AE0"/>
      <color rgb="FF4B2DFF"/>
      <color rgb="FFF09840"/>
      <color rgb="FFFFFF66"/>
      <color rgb="FFF23E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92914407099891"/>
          <c:y val="0.11035197829152642"/>
          <c:w val="0.52176578122287243"/>
          <c:h val="0.87500021408413264"/>
        </c:manualLayout>
      </c:layout>
      <c:doughnutChart>
        <c:varyColors val="1"/>
        <c:ser>
          <c:idx val="0"/>
          <c:order val="0"/>
          <c:tx>
            <c:strRef>
              <c:f>Lookup!$B$4</c:f>
              <c:strCache>
                <c:ptCount val="1"/>
                <c:pt idx="0">
                  <c:v>Speedometer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05-4DB2-A949-612242D7ED1A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A82-4518-A113-E41110198BAB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82-4518-A113-E41110198BAB}"/>
              </c:ext>
            </c:extLst>
          </c:dPt>
          <c:dPt>
            <c:idx val="3"/>
            <c:bubble3D val="0"/>
            <c:spPr>
              <a:solidFill>
                <a:srgbClr val="FF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A82-4518-A113-E41110198BAB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A82-4518-A113-E41110198BAB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82-4518-A113-E41110198BAB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A82-4518-A113-E41110198BAB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A82-4518-A113-E41110198BAB}"/>
              </c:ext>
            </c:extLst>
          </c:dPt>
          <c:dPt>
            <c:idx val="8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A82-4518-A113-E41110198BAB}"/>
              </c:ext>
            </c:extLst>
          </c:dPt>
          <c:val>
            <c:numRef>
              <c:f>Lookup!$C$5:$C$13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8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10</c:v>
                </c:pt>
                <c:pt idx="7">
                  <c:v>15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2-4518-A113-E41110198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7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ROI</a:t>
            </a:r>
            <a:r>
              <a:rPr lang="en-US" b="1" baseline="0">
                <a:solidFill>
                  <a:schemeClr val="tx1"/>
                </a:solidFill>
              </a:rPr>
              <a:t> Score</a:t>
            </a:r>
            <a:endParaRPr lang="en-US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2277383643876199"/>
          <c:y val="0.608473525192222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92914407099891"/>
          <c:y val="0.12668678297856467"/>
          <c:w val="0.49396589814762365"/>
          <c:h val="0.87331331464922812"/>
        </c:manualLayout>
      </c:layout>
      <c:doughnutChart>
        <c:varyColors val="1"/>
        <c:ser>
          <c:idx val="0"/>
          <c:order val="0"/>
          <c:tx>
            <c:strRef>
              <c:f>Lookup!$B$4</c:f>
              <c:strCache>
                <c:ptCount val="1"/>
                <c:pt idx="0">
                  <c:v>Speedometer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9E-4638-BF64-D9C36CAE1961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9E-4638-BF64-D9C36CAE196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9E-4638-BF64-D9C36CAE1961}"/>
              </c:ext>
            </c:extLst>
          </c:dPt>
          <c:dPt>
            <c:idx val="3"/>
            <c:bubble3D val="0"/>
            <c:spPr>
              <a:solidFill>
                <a:srgbClr val="FF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29E-4638-BF64-D9C36CAE1961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29E-4638-BF64-D9C36CAE1961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29E-4638-BF64-D9C36CAE1961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29E-4638-BF64-D9C36CAE1961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29E-4638-BF64-D9C36CAE1961}"/>
              </c:ext>
            </c:extLst>
          </c:dPt>
          <c:dPt>
            <c:idx val="8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29E-4638-BF64-D9C36CAE1961}"/>
              </c:ext>
            </c:extLst>
          </c:dPt>
          <c:val>
            <c:numRef>
              <c:f>Lookup!$C$5:$C$13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8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10</c:v>
                </c:pt>
                <c:pt idx="7">
                  <c:v>15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29E-4638-BF64-D9C36CAE1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7"/>
      </c:doughnutChart>
      <c:pieChart>
        <c:varyColors val="1"/>
        <c:ser>
          <c:idx val="1"/>
          <c:order val="1"/>
          <c:tx>
            <c:strRef>
              <c:f>Lookup!$F$5</c:f>
              <c:strCache>
                <c:ptCount val="1"/>
                <c:pt idx="0">
                  <c:v>Pointer</c:v>
                </c:pt>
              </c:strCache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529E-4638-BF64-D9C36CAE196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>
                <a:glow>
                  <a:schemeClr val="tx1"/>
                </a:glow>
                <a:outerShdw sx="1000" sy="1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529E-4638-BF64-D9C36CAE196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529E-4638-BF64-D9C36CAE1961}"/>
              </c:ext>
            </c:extLst>
          </c:dPt>
          <c:dLbls>
            <c:dLbl>
              <c:idx val="1"/>
              <c:layout>
                <c:manualLayout>
                  <c:x val="1.9440011858981932E-3"/>
                  <c:y val="7.5310233575966732E-3"/>
                </c:manualLayout>
              </c:layout>
              <c:tx>
                <c:strRef>
                  <c:f>Lookup!$K$7</c:f>
                  <c:strCache>
                    <c:ptCount val="1"/>
                    <c:pt idx="0">
                      <c:v>27.25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{38ABDD64-4450-4C03-97EA-CC142B2295A6}</c15:txfldGUID>
                      <c15:f>Lookup!$K$7</c15:f>
                      <c15:dlblFieldTableCache>
                        <c:ptCount val="1"/>
                        <c:pt idx="0">
                          <c:v>27.25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529E-4638-BF64-D9C36CAE19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Lookup!$G$6:$G$8</c:f>
              <c:numCache>
                <c:formatCode>General</c:formatCode>
                <c:ptCount val="3"/>
                <c:pt idx="0" formatCode="0.00">
                  <c:v>27.252906976744185</c:v>
                </c:pt>
                <c:pt idx="1">
                  <c:v>1</c:v>
                </c:pt>
                <c:pt idx="2" formatCode="0.00">
                  <c:v>71.747093023255815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29E-4638-BF64-D9C36CAE1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6200000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ROI</a:t>
            </a:r>
            <a:r>
              <a:rPr lang="en-US" b="1" baseline="0">
                <a:solidFill>
                  <a:schemeClr val="tx1"/>
                </a:solidFill>
              </a:rPr>
              <a:t> Score</a:t>
            </a:r>
            <a:endParaRPr lang="en-US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2277383643876199"/>
          <c:y val="0.608473525192222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92914407099891"/>
          <c:y val="0.12668678297856467"/>
          <c:w val="0.49396589814762365"/>
          <c:h val="0.87331331464922812"/>
        </c:manualLayout>
      </c:layout>
      <c:doughnutChart>
        <c:varyColors val="1"/>
        <c:ser>
          <c:idx val="0"/>
          <c:order val="0"/>
          <c:tx>
            <c:strRef>
              <c:f>Lookup!$B$4</c:f>
              <c:strCache>
                <c:ptCount val="1"/>
                <c:pt idx="0">
                  <c:v>Speedometer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344-4824-9089-3CDE27D87BBC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344-4824-9089-3CDE27D87BBC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44-4824-9089-3CDE27D87BBC}"/>
              </c:ext>
            </c:extLst>
          </c:dPt>
          <c:dPt>
            <c:idx val="3"/>
            <c:bubble3D val="0"/>
            <c:spPr>
              <a:solidFill>
                <a:srgbClr val="FF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344-4824-9089-3CDE27D87BBC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344-4824-9089-3CDE27D87BBC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344-4824-9089-3CDE27D87BBC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344-4824-9089-3CDE27D87BBC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344-4824-9089-3CDE27D87BBC}"/>
              </c:ext>
            </c:extLst>
          </c:dPt>
          <c:dPt>
            <c:idx val="8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344-4824-9089-3CDE27D87BBC}"/>
              </c:ext>
            </c:extLst>
          </c:dPt>
          <c:cat>
            <c:strRef>
              <c:f>Lookup!$B$6:$B$12</c:f>
              <c:strCache>
                <c:ptCount val="7"/>
                <c:pt idx="0">
                  <c:v>Low</c:v>
                </c:pt>
                <c:pt idx="1">
                  <c:v>Poor</c:v>
                </c:pt>
                <c:pt idx="2">
                  <c:v>Neutral</c:v>
                </c:pt>
                <c:pt idx="3">
                  <c:v>Fair</c:v>
                </c:pt>
                <c:pt idx="4">
                  <c:v>Good</c:v>
                </c:pt>
                <c:pt idx="5">
                  <c:v>Excellent</c:v>
                </c:pt>
                <c:pt idx="6">
                  <c:v>High</c:v>
                </c:pt>
              </c:strCache>
            </c:strRef>
          </c:cat>
          <c:val>
            <c:numRef>
              <c:f>Lookup!$C$5:$C$13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8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10</c:v>
                </c:pt>
                <c:pt idx="7">
                  <c:v>15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344-4824-9089-3CDE27D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7"/>
      </c:doughnutChart>
      <c:spPr>
        <a:noFill/>
        <a:ln>
          <a:noFill/>
        </a:ln>
        <a:effectLst/>
      </c:spPr>
    </c:plotArea>
    <c:legend>
      <c:legendPos val="r"/>
      <c:legendEntry>
        <c:idx val="7"/>
        <c:delete val="1"/>
      </c:legendEntry>
      <c:layout>
        <c:manualLayout>
          <c:xMode val="edge"/>
          <c:yMode val="edge"/>
          <c:x val="0.82625352063550195"/>
          <c:y val="0.26862122083606049"/>
          <c:w val="0.1449535668506553"/>
          <c:h val="0.513437659083546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6200000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ROI</a:t>
            </a:r>
            <a:r>
              <a:rPr lang="en-US" b="1" baseline="0">
                <a:solidFill>
                  <a:schemeClr val="tx1"/>
                </a:solidFill>
              </a:rPr>
              <a:t> Score</a:t>
            </a:r>
            <a:endParaRPr lang="en-US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42277383643876199"/>
          <c:y val="0.608473525192222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92914407099891"/>
          <c:y val="0.12668678297856467"/>
          <c:w val="0.49396589814762365"/>
          <c:h val="0.87331331464922812"/>
        </c:manualLayout>
      </c:layout>
      <c:doughnutChart>
        <c:varyColors val="1"/>
        <c:ser>
          <c:idx val="0"/>
          <c:order val="0"/>
          <c:tx>
            <c:strRef>
              <c:f>Lookup!$B$4</c:f>
              <c:strCache>
                <c:ptCount val="1"/>
                <c:pt idx="0">
                  <c:v>Speedometer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A4-40F9-B7B8-6C04F9F6C16C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A4-40F9-B7B8-6C04F9F6C16C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A4-40F9-B7B8-6C04F9F6C16C}"/>
              </c:ext>
            </c:extLst>
          </c:dPt>
          <c:dPt>
            <c:idx val="3"/>
            <c:bubble3D val="0"/>
            <c:spPr>
              <a:solidFill>
                <a:srgbClr val="FF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8A4-40F9-B7B8-6C04F9F6C16C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8A4-40F9-B7B8-6C04F9F6C16C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8A4-40F9-B7B8-6C04F9F6C16C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8A4-40F9-B7B8-6C04F9F6C16C}"/>
              </c:ext>
            </c:extLst>
          </c:dPt>
          <c:dPt>
            <c:idx val="7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8A4-40F9-B7B8-6C04F9F6C16C}"/>
              </c:ext>
            </c:extLst>
          </c:dPt>
          <c:dPt>
            <c:idx val="8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8A4-40F9-B7B8-6C04F9F6C16C}"/>
              </c:ext>
            </c:extLst>
          </c:dPt>
          <c:val>
            <c:numRef>
              <c:f>Lookup!$C$5:$C$13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8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10</c:v>
                </c:pt>
                <c:pt idx="7">
                  <c:v>15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8A4-40F9-B7B8-6C04F9F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7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6200000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600075</xdr:colOff>
      <xdr:row>2</xdr:row>
      <xdr:rowOff>23811</xdr:rowOff>
    </xdr:from>
    <xdr:to>
      <xdr:col>26</xdr:col>
      <xdr:colOff>409575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45525-8EF3-408C-B185-A5A25C38C3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5</xdr:row>
      <xdr:rowOff>152399</xdr:rowOff>
    </xdr:from>
    <xdr:to>
      <xdr:col>6</xdr:col>
      <xdr:colOff>19051</xdr:colOff>
      <xdr:row>23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1A2805-28C4-40D1-AE51-42EFE8BCE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38101</xdr:colOff>
      <xdr:row>6</xdr:row>
      <xdr:rowOff>38100</xdr:rowOff>
    </xdr:from>
    <xdr:to>
      <xdr:col>19</xdr:col>
      <xdr:colOff>247651</xdr:colOff>
      <xdr:row>7</xdr:row>
      <xdr:rowOff>104775</xdr:rowOff>
    </xdr:to>
    <xdr:sp macro="" textlink="Lookup!$K$4">
      <xdr:nvSpPr>
        <xdr:cNvPr id="11" name="Rectangle 10">
          <a:extLst>
            <a:ext uri="{FF2B5EF4-FFF2-40B4-BE49-F238E27FC236}">
              <a16:creationId xmlns:a16="http://schemas.microsoft.com/office/drawing/2014/main" id="{E0A0B126-2248-4C65-B9AA-0F54400CC799}"/>
            </a:ext>
          </a:extLst>
        </xdr:cNvPr>
        <xdr:cNvSpPr/>
      </xdr:nvSpPr>
      <xdr:spPr>
        <a:xfrm>
          <a:off x="14478001" y="1476375"/>
          <a:ext cx="1428750" cy="2571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DB9688-4306-4230-9C0E-DB0721321B9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156864</a:t>
          </a:fld>
          <a:endParaRPr lang="en-US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19</xdr:col>
      <xdr:colOff>219075</xdr:colOff>
      <xdr:row>2</xdr:row>
      <xdr:rowOff>314325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D407D80-D7D8-4A72-ACC1-9F22362734F2}"/>
            </a:ext>
          </a:extLst>
        </xdr:cNvPr>
        <xdr:cNvSpPr/>
      </xdr:nvSpPr>
      <xdr:spPr>
        <a:xfrm>
          <a:off x="14439900" y="266700"/>
          <a:ext cx="1438275" cy="314325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t>FTE</a:t>
          </a:r>
          <a:r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t> </a:t>
          </a:r>
          <a:r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t>Benefit</a:t>
          </a:r>
          <a:endParaRPr lang="en-US" sz="1400" b="1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19050</xdr:colOff>
      <xdr:row>2</xdr:row>
      <xdr:rowOff>314325</xdr:rowOff>
    </xdr:from>
    <xdr:to>
      <xdr:col>19</xdr:col>
      <xdr:colOff>219075</xdr:colOff>
      <xdr:row>4</xdr:row>
      <xdr:rowOff>47625</xdr:rowOff>
    </xdr:to>
    <xdr:sp macro="" textlink="Lookup!$K$3">
      <xdr:nvSpPr>
        <xdr:cNvPr id="13" name="Rectangle 12">
          <a:extLst>
            <a:ext uri="{FF2B5EF4-FFF2-40B4-BE49-F238E27FC236}">
              <a16:creationId xmlns:a16="http://schemas.microsoft.com/office/drawing/2014/main" id="{4A09A298-2075-492F-A68A-BF8504BB63A6}"/>
            </a:ext>
          </a:extLst>
        </xdr:cNvPr>
        <xdr:cNvSpPr/>
      </xdr:nvSpPr>
      <xdr:spPr>
        <a:xfrm>
          <a:off x="14458950" y="581025"/>
          <a:ext cx="1419225" cy="27622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6A24FB2-BC13-4731-B8FB-F3D878F1A05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10.75</a:t>
          </a:fld>
          <a:endParaRPr lang="en-US" sz="12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76200</xdr:colOff>
      <xdr:row>11</xdr:row>
      <xdr:rowOff>76201</xdr:rowOff>
    </xdr:from>
    <xdr:to>
      <xdr:col>19</xdr:col>
      <xdr:colOff>276225</xdr:colOff>
      <xdr:row>12</xdr:row>
      <xdr:rowOff>114301</xdr:rowOff>
    </xdr:to>
    <xdr:sp macro="" textlink="Lookup!$K$7">
      <xdr:nvSpPr>
        <xdr:cNvPr id="14" name="Rectangle 13">
          <a:extLst>
            <a:ext uri="{FF2B5EF4-FFF2-40B4-BE49-F238E27FC236}">
              <a16:creationId xmlns:a16="http://schemas.microsoft.com/office/drawing/2014/main" id="{9BE24EF1-5638-4D7C-9E01-30BE246BAEF5}"/>
            </a:ext>
          </a:extLst>
        </xdr:cNvPr>
        <xdr:cNvSpPr/>
      </xdr:nvSpPr>
      <xdr:spPr>
        <a:xfrm>
          <a:off x="14516100" y="2390776"/>
          <a:ext cx="1419225" cy="2667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4F4C08-60E1-4FA5-8643-6346E64E1BB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27.25</a:t>
          </a:fld>
          <a:endParaRPr lang="en-US" sz="1100">
            <a:noFill/>
          </a:endParaRPr>
        </a:p>
      </xdr:txBody>
    </xdr:sp>
    <xdr:clientData/>
  </xdr:twoCellAnchor>
  <xdr:twoCellAnchor>
    <xdr:from>
      <xdr:col>17</xdr:col>
      <xdr:colOff>19050</xdr:colOff>
      <xdr:row>5</xdr:row>
      <xdr:rowOff>19051</xdr:rowOff>
    </xdr:from>
    <xdr:to>
      <xdr:col>19</xdr:col>
      <xdr:colOff>238125</xdr:colOff>
      <xdr:row>6</xdr:row>
      <xdr:rowOff>28575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966BAE1-4968-461F-93C4-808F92656C61}"/>
            </a:ext>
          </a:extLst>
        </xdr:cNvPr>
        <xdr:cNvSpPr/>
      </xdr:nvSpPr>
      <xdr:spPr>
        <a:xfrm>
          <a:off x="14458950" y="1152526"/>
          <a:ext cx="1438275" cy="314324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t>Gross</a:t>
          </a:r>
          <a:r>
            <a:rPr lang="en-US" sz="1200" b="1" i="0" u="none" strike="noStrike" baseline="0">
              <a:solidFill>
                <a:schemeClr val="bg1"/>
              </a:solidFill>
              <a:latin typeface="Calibri"/>
              <a:cs typeface="Calibri"/>
            </a:rPr>
            <a:t> Benefit</a:t>
          </a:r>
          <a:endParaRPr lang="en-US" sz="1200" b="1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57150</xdr:colOff>
      <xdr:row>8</xdr:row>
      <xdr:rowOff>200026</xdr:rowOff>
    </xdr:from>
    <xdr:to>
      <xdr:col>19</xdr:col>
      <xdr:colOff>276225</xdr:colOff>
      <xdr:row>11</xdr:row>
      <xdr:rowOff>85726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61DFF44-7970-4D48-B989-2E92FDC84040}"/>
            </a:ext>
          </a:extLst>
        </xdr:cNvPr>
        <xdr:cNvSpPr/>
      </xdr:nvSpPr>
      <xdr:spPr>
        <a:xfrm>
          <a:off x="14497050" y="2095501"/>
          <a:ext cx="1438275" cy="3048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t>ROI</a:t>
          </a:r>
          <a:r>
            <a:rPr lang="en-US" sz="1200" b="1" i="0" u="none" strike="noStrike" baseline="0">
              <a:solidFill>
                <a:schemeClr val="bg1"/>
              </a:solidFill>
              <a:latin typeface="Calibri"/>
              <a:cs typeface="Calibri"/>
            </a:rPr>
            <a:t> Score</a:t>
          </a:r>
        </a:p>
      </xdr:txBody>
    </xdr:sp>
    <xdr:clientData/>
  </xdr:twoCellAnchor>
  <xdr:twoCellAnchor>
    <xdr:from>
      <xdr:col>9</xdr:col>
      <xdr:colOff>1781175</xdr:colOff>
      <xdr:row>1</xdr:row>
      <xdr:rowOff>66675</xdr:rowOff>
    </xdr:from>
    <xdr:to>
      <xdr:col>12</xdr:col>
      <xdr:colOff>533400</xdr:colOff>
      <xdr:row>4</xdr:row>
      <xdr:rowOff>152400</xdr:rowOff>
    </xdr:to>
    <xdr:sp macro="" textlink="Lookup!$K$8">
      <xdr:nvSpPr>
        <xdr:cNvPr id="2" name="Rectangle: Rounded Corners 1">
          <a:extLst>
            <a:ext uri="{FF2B5EF4-FFF2-40B4-BE49-F238E27FC236}">
              <a16:creationId xmlns:a16="http://schemas.microsoft.com/office/drawing/2014/main" id="{7628C415-5224-4F62-86A7-CAFC4B834BAC}"/>
            </a:ext>
          </a:extLst>
        </xdr:cNvPr>
        <xdr:cNvSpPr/>
      </xdr:nvSpPr>
      <xdr:spPr>
        <a:xfrm>
          <a:off x="10248900" y="257175"/>
          <a:ext cx="2057400" cy="895350"/>
        </a:xfrm>
        <a:prstGeom prst="roundRect">
          <a:avLst/>
        </a:prstGeom>
        <a:solidFill>
          <a:srgbClr val="92D050"/>
        </a:solidFill>
        <a:ln>
          <a:noFill/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8D51F54-8A32-49D4-AC04-1FA57A180485}" type="TxLink">
            <a:rPr lang="en-US" sz="2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Excellent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38100</xdr:colOff>
      <xdr:row>0</xdr:row>
      <xdr:rowOff>76200</xdr:rowOff>
    </xdr:from>
    <xdr:to>
      <xdr:col>0</xdr:col>
      <xdr:colOff>495300</xdr:colOff>
      <xdr:row>17</xdr:row>
      <xdr:rowOff>152400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8EE75B3-33FA-4F0C-B59E-A225D05786F4}"/>
            </a:ext>
          </a:extLst>
        </xdr:cNvPr>
        <xdr:cNvSpPr/>
      </xdr:nvSpPr>
      <xdr:spPr>
        <a:xfrm rot="16200000">
          <a:off x="-1804988" y="1919288"/>
          <a:ext cx="4143375" cy="457200"/>
        </a:xfrm>
        <a:prstGeom prst="roundRect">
          <a:avLst/>
        </a:prstGeom>
        <a:solidFill>
          <a:srgbClr val="6A6AE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0" i="0" u="none" strike="noStrike" baseline="0">
              <a:solidFill>
                <a:schemeClr val="bg1"/>
              </a:solidFill>
              <a:latin typeface="Calibri"/>
              <a:cs typeface="Calibri"/>
            </a:rPr>
            <a:t>ROI Calculator for Email Bot</a:t>
          </a:r>
          <a:endParaRPr lang="en-US" sz="2400" b="0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0</xdr:col>
      <xdr:colOff>66676</xdr:colOff>
      <xdr:row>1</xdr:row>
      <xdr:rowOff>19048</xdr:rowOff>
    </xdr:from>
    <xdr:to>
      <xdr:col>0</xdr:col>
      <xdr:colOff>457203</xdr:colOff>
      <xdr:row>2</xdr:row>
      <xdr:rowOff>142875</xdr:rowOff>
    </xdr:to>
    <xdr:pic>
      <xdr:nvPicPr>
        <xdr:cNvPr id="5" name="Graphic 4" descr="Calculator">
          <a:extLst>
            <a:ext uri="{FF2B5EF4-FFF2-40B4-BE49-F238E27FC236}">
              <a16:creationId xmlns:a16="http://schemas.microsoft.com/office/drawing/2014/main" id="{46F6FF2A-7716-45E3-9F20-460A1AA1C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6200000">
          <a:off x="66676" y="209548"/>
          <a:ext cx="390527" cy="390527"/>
        </a:xfrm>
        <a:prstGeom prst="rect">
          <a:avLst/>
        </a:prstGeom>
      </xdr:spPr>
    </xdr:pic>
    <xdr:clientData/>
  </xdr:twoCellAnchor>
  <xdr:twoCellAnchor>
    <xdr:from>
      <xdr:col>0</xdr:col>
      <xdr:colOff>838200</xdr:colOff>
      <xdr:row>1</xdr:row>
      <xdr:rowOff>9525</xdr:rowOff>
    </xdr:from>
    <xdr:to>
      <xdr:col>1</xdr:col>
      <xdr:colOff>1638300</xdr:colOff>
      <xdr:row>4</xdr:row>
      <xdr:rowOff>95250</xdr:rowOff>
    </xdr:to>
    <xdr:sp macro="[0]!show_form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50AB87A5-B9C7-4DC2-B5B5-CEF83F3D94D9}"/>
            </a:ext>
          </a:extLst>
        </xdr:cNvPr>
        <xdr:cNvSpPr/>
      </xdr:nvSpPr>
      <xdr:spPr>
        <a:xfrm>
          <a:off x="838200" y="200025"/>
          <a:ext cx="1685925" cy="8953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bg1"/>
              </a:solidFill>
            </a:rPr>
            <a:t>Input</a:t>
          </a:r>
          <a:r>
            <a:rPr lang="en-US" sz="2000" baseline="0">
              <a:solidFill>
                <a:schemeClr val="bg1"/>
              </a:solidFill>
            </a:rPr>
            <a:t> Form</a:t>
          </a:r>
          <a:endParaRPr lang="en-US" sz="20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329045</xdr:colOff>
      <xdr:row>40</xdr:row>
      <xdr:rowOff>94481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0F1EAD-E550-4128-AEA5-43BB84F3D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482454" cy="87535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5</xdr:row>
      <xdr:rowOff>47625</xdr:rowOff>
    </xdr:from>
    <xdr:to>
      <xdr:col>12</xdr:col>
      <xdr:colOff>438150</xdr:colOff>
      <xdr:row>25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F5B363-1773-4250-9C32-AE7D70711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0</xdr:rowOff>
    </xdr:from>
    <xdr:to>
      <xdr:col>11</xdr:col>
      <xdr:colOff>523875</xdr:colOff>
      <xdr:row>19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F25B8-4CC2-40C3-99C3-74AC247DD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2588-144F-4E41-AD76-D3689FA1CCC3}">
  <sheetPr codeName="Sheet1"/>
  <dimension ref="F3:N18"/>
  <sheetViews>
    <sheetView topLeftCell="A2" workbookViewId="0">
      <selection activeCell="B12" sqref="B12"/>
    </sheetView>
  </sheetViews>
  <sheetFormatPr defaultRowHeight="15" x14ac:dyDescent="0.25"/>
  <cols>
    <col min="6" max="6" width="16.140625" bestFit="1" customWidth="1"/>
    <col min="7" max="7" width="12.28515625" bestFit="1" customWidth="1"/>
    <col min="8" max="9" width="12.85546875" bestFit="1" customWidth="1"/>
    <col min="13" max="13" width="12.85546875" customWidth="1"/>
  </cols>
  <sheetData>
    <row r="3" spans="6:14" x14ac:dyDescent="0.25">
      <c r="F3" s="1" t="s">
        <v>0</v>
      </c>
      <c r="G3" s="2">
        <v>44</v>
      </c>
      <c r="H3" s="2">
        <v>44</v>
      </c>
      <c r="I3" s="2">
        <v>44</v>
      </c>
    </row>
    <row r="4" spans="6:14" x14ac:dyDescent="0.25">
      <c r="F4" s="1" t="s">
        <v>1</v>
      </c>
      <c r="G4" s="3">
        <f>G5/G3</f>
        <v>0.24272727272727271</v>
      </c>
      <c r="H4" s="3">
        <f t="shared" ref="H4:I4" si="0">H5/H3</f>
        <v>0.24272727272727271</v>
      </c>
      <c r="I4" s="3">
        <f t="shared" si="0"/>
        <v>0.24272727272727271</v>
      </c>
    </row>
    <row r="5" spans="6:14" x14ac:dyDescent="0.25">
      <c r="F5" s="1" t="s">
        <v>2</v>
      </c>
      <c r="G5" s="2">
        <v>10.68</v>
      </c>
      <c r="H5" s="2">
        <v>10.68</v>
      </c>
      <c r="I5" s="2">
        <v>10.68</v>
      </c>
    </row>
    <row r="6" spans="6:14" x14ac:dyDescent="0.25">
      <c r="F6" s="1" t="s">
        <v>3</v>
      </c>
      <c r="G6" s="2">
        <v>34</v>
      </c>
      <c r="H6" s="2">
        <v>34</v>
      </c>
      <c r="I6" s="2">
        <v>34</v>
      </c>
    </row>
    <row r="7" spans="6:14" x14ac:dyDescent="0.25">
      <c r="F7" s="1" t="s">
        <v>4</v>
      </c>
      <c r="G7" s="2">
        <v>13428</v>
      </c>
      <c r="H7" s="2">
        <v>13428</v>
      </c>
      <c r="I7" s="2">
        <v>13428</v>
      </c>
    </row>
    <row r="8" spans="6:14" x14ac:dyDescent="0.25">
      <c r="F8" s="4" t="s">
        <v>5</v>
      </c>
      <c r="G8" s="5">
        <v>41700</v>
      </c>
      <c r="H8" s="6"/>
      <c r="I8" s="6"/>
    </row>
    <row r="9" spans="6:14" x14ac:dyDescent="0.25">
      <c r="F9" s="4" t="s">
        <v>6</v>
      </c>
      <c r="G9" s="5">
        <v>3600</v>
      </c>
      <c r="H9" s="5"/>
      <c r="I9" s="5"/>
    </row>
    <row r="10" spans="6:14" x14ac:dyDescent="0.25">
      <c r="F10" s="4" t="s">
        <v>7</v>
      </c>
      <c r="G10" s="7">
        <v>12240</v>
      </c>
      <c r="H10" s="7">
        <f>H13-(H12+H11)</f>
        <v>12398</v>
      </c>
      <c r="I10" s="7">
        <f>I13-(I12+I11)</f>
        <v>12398</v>
      </c>
    </row>
    <row r="11" spans="6:14" x14ac:dyDescent="0.25">
      <c r="F11" s="4" t="s">
        <v>8</v>
      </c>
      <c r="G11" s="7">
        <f>93.5*12</f>
        <v>1122</v>
      </c>
      <c r="H11" s="7">
        <f t="shared" ref="H11:I11" si="1">93.5*12</f>
        <v>1122</v>
      </c>
      <c r="I11" s="7">
        <f t="shared" si="1"/>
        <v>1122</v>
      </c>
      <c r="M11" t="s">
        <v>12</v>
      </c>
      <c r="N11">
        <v>155842</v>
      </c>
    </row>
    <row r="12" spans="6:14" x14ac:dyDescent="0.25">
      <c r="F12" s="4" t="s">
        <v>9</v>
      </c>
      <c r="G12" s="7">
        <f>500*12</f>
        <v>6000</v>
      </c>
      <c r="H12" s="7">
        <f>500*12</f>
        <v>6000</v>
      </c>
      <c r="I12" s="7">
        <f>500*12</f>
        <v>6000</v>
      </c>
      <c r="M12" t="s">
        <v>44</v>
      </c>
      <c r="N12">
        <v>114114</v>
      </c>
    </row>
    <row r="13" spans="6:14" x14ac:dyDescent="0.25">
      <c r="F13" s="8" t="s">
        <v>10</v>
      </c>
      <c r="G13" s="7">
        <f>SUM(G8:G12)</f>
        <v>64662</v>
      </c>
      <c r="H13" s="7">
        <v>19520</v>
      </c>
      <c r="I13" s="7">
        <v>19520</v>
      </c>
      <c r="M13" t="s">
        <v>45</v>
      </c>
      <c r="N13">
        <f>N11-N12</f>
        <v>41728</v>
      </c>
    </row>
    <row r="14" spans="6:14" ht="51" x14ac:dyDescent="0.25">
      <c r="F14" s="9" t="s">
        <v>11</v>
      </c>
      <c r="G14" s="10">
        <f>(G8/(1-0.45))+(G9/(1-0.45))+(G10/(1-0.45))+(G11/(1-0.25))+(G12/(1-0.25))</f>
        <v>114114.18181818181</v>
      </c>
      <c r="H14" s="10">
        <f>H13/(1-0.28)</f>
        <v>27111.111111111113</v>
      </c>
      <c r="I14" s="10">
        <f>I13/(1-0.28)</f>
        <v>27111.111111111113</v>
      </c>
    </row>
    <row r="15" spans="6:14" x14ac:dyDescent="0.25">
      <c r="F15" s="1" t="s">
        <v>12</v>
      </c>
      <c r="G15" s="11">
        <f>G5*1216*12</f>
        <v>155842.56</v>
      </c>
      <c r="H15" s="11">
        <f>H5*1216*12</f>
        <v>155842.56</v>
      </c>
      <c r="I15" s="11">
        <f>I5*1216*12</f>
        <v>155842.56</v>
      </c>
      <c r="M15" t="s">
        <v>36</v>
      </c>
      <c r="N15">
        <f>(N13/N12)*100</f>
        <v>36.566941830099722</v>
      </c>
    </row>
    <row r="16" spans="6:14" x14ac:dyDescent="0.25">
      <c r="F16" s="1" t="s">
        <v>13</v>
      </c>
      <c r="G16" s="11">
        <f>G15-G13</f>
        <v>91180.56</v>
      </c>
      <c r="H16" s="11">
        <f>H15-H13</f>
        <v>136322.56</v>
      </c>
      <c r="I16" s="11">
        <f>I15-I13</f>
        <v>136322.56</v>
      </c>
    </row>
    <row r="17" spans="6:9" x14ac:dyDescent="0.25">
      <c r="F17" s="12" t="s">
        <v>14</v>
      </c>
      <c r="G17" s="13">
        <f>G15-G14</f>
        <v>41728.378181818189</v>
      </c>
      <c r="H17" s="13">
        <f>H15-H14</f>
        <v>128731.44888888889</v>
      </c>
      <c r="I17" s="13">
        <f>I15-I14</f>
        <v>128731.44888888889</v>
      </c>
    </row>
    <row r="18" spans="6:9" x14ac:dyDescent="0.25">
      <c r="F18" s="12" t="s">
        <v>15</v>
      </c>
      <c r="G18" s="13">
        <f>SUM(G17:I17)/3</f>
        <v>99730.425319865331</v>
      </c>
      <c r="H18" s="14"/>
      <c r="I1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E3651-03AA-4440-AB2D-0B5F756856B5}">
  <sheetPr codeName="Sheet2"/>
  <dimension ref="B2:Q20"/>
  <sheetViews>
    <sheetView workbookViewId="0">
      <selection activeCell="H21" sqref="H21"/>
    </sheetView>
  </sheetViews>
  <sheetFormatPr defaultRowHeight="15" x14ac:dyDescent="0.25"/>
  <cols>
    <col min="10" max="10" width="16.28515625" customWidth="1"/>
    <col min="11" max="11" width="15" customWidth="1"/>
    <col min="14" max="14" width="10.85546875" customWidth="1"/>
  </cols>
  <sheetData>
    <row r="2" spans="2:17" x14ac:dyDescent="0.25">
      <c r="J2" s="51" t="s">
        <v>53</v>
      </c>
      <c r="K2" s="52"/>
    </row>
    <row r="3" spans="2:17" x14ac:dyDescent="0.25">
      <c r="J3" s="39" t="s">
        <v>2</v>
      </c>
      <c r="K3" s="40">
        <f>(K12*K13)/100</f>
        <v>10.75</v>
      </c>
    </row>
    <row r="4" spans="2:17" x14ac:dyDescent="0.25">
      <c r="B4" s="49" t="s">
        <v>16</v>
      </c>
      <c r="C4" s="49"/>
      <c r="J4" s="39" t="s">
        <v>12</v>
      </c>
      <c r="K4" s="40">
        <f>K3*K14*12</f>
        <v>156864</v>
      </c>
      <c r="M4" s="15"/>
      <c r="N4" s="15"/>
      <c r="O4" s="15"/>
      <c r="P4" s="15"/>
      <c r="Q4" s="15"/>
    </row>
    <row r="5" spans="2:17" x14ac:dyDescent="0.25">
      <c r="B5" s="16" t="s">
        <v>17</v>
      </c>
      <c r="C5" s="16">
        <v>0</v>
      </c>
      <c r="F5" s="49" t="s">
        <v>20</v>
      </c>
      <c r="G5" s="49"/>
      <c r="J5" s="39" t="s">
        <v>55</v>
      </c>
      <c r="K5" s="40">
        <v>114114</v>
      </c>
      <c r="M5" s="15"/>
      <c r="P5" s="15"/>
      <c r="Q5" s="15"/>
    </row>
    <row r="6" spans="2:17" x14ac:dyDescent="0.25">
      <c r="B6" s="16" t="s">
        <v>38</v>
      </c>
      <c r="C6" s="16">
        <v>10</v>
      </c>
      <c r="F6" s="16" t="s">
        <v>21</v>
      </c>
      <c r="G6" s="17">
        <f>K7</f>
        <v>27.252906976744185</v>
      </c>
      <c r="J6" s="39" t="s">
        <v>13</v>
      </c>
      <c r="K6" s="40">
        <f>K4-K5</f>
        <v>42750</v>
      </c>
      <c r="M6" s="15"/>
      <c r="N6" s="15"/>
      <c r="O6" s="15"/>
      <c r="P6" s="15"/>
      <c r="Q6" s="15"/>
    </row>
    <row r="7" spans="2:17" x14ac:dyDescent="0.25">
      <c r="B7" s="16" t="s">
        <v>37</v>
      </c>
      <c r="C7" s="16">
        <v>8</v>
      </c>
      <c r="F7" s="16" t="s">
        <v>20</v>
      </c>
      <c r="G7" s="16">
        <v>1</v>
      </c>
      <c r="J7" s="39" t="s">
        <v>36</v>
      </c>
      <c r="K7" s="45">
        <f>((K6)/K4)*100</f>
        <v>27.252906976744185</v>
      </c>
      <c r="M7" s="15"/>
      <c r="N7" s="15"/>
      <c r="O7" s="15"/>
      <c r="P7" s="15"/>
      <c r="Q7" s="15"/>
    </row>
    <row r="8" spans="2:17" x14ac:dyDescent="0.25">
      <c r="B8" s="16" t="s">
        <v>40</v>
      </c>
      <c r="C8" s="16">
        <v>2</v>
      </c>
      <c r="F8" s="16" t="s">
        <v>18</v>
      </c>
      <c r="G8" s="17">
        <f>100-(G6+G7)</f>
        <v>71.747093023255815</v>
      </c>
      <c r="J8" s="39" t="s">
        <v>46</v>
      </c>
      <c r="K8" s="46" t="str">
        <f>IF(K7&lt;35,(IF(K7&lt;25,(IF(K7&lt;23,(IF(K7&lt;18,"Bad","Fair")),"Good")),"Excellent")),"Not Applicable")</f>
        <v>Excellent</v>
      </c>
      <c r="M8" s="15"/>
      <c r="N8" s="15"/>
      <c r="O8" s="15"/>
      <c r="P8" s="15"/>
      <c r="Q8" s="15"/>
    </row>
    <row r="9" spans="2:17" x14ac:dyDescent="0.25">
      <c r="B9" s="16" t="s">
        <v>39</v>
      </c>
      <c r="C9" s="16">
        <v>3</v>
      </c>
      <c r="M9" s="15"/>
      <c r="N9" s="15"/>
      <c r="O9" s="15"/>
      <c r="P9" s="15"/>
      <c r="Q9" s="15"/>
    </row>
    <row r="10" spans="2:17" x14ac:dyDescent="0.25">
      <c r="B10" s="16" t="s">
        <v>41</v>
      </c>
      <c r="C10" s="16">
        <v>2</v>
      </c>
      <c r="M10" s="15"/>
      <c r="N10" s="15"/>
      <c r="O10" s="24"/>
      <c r="P10" s="15"/>
      <c r="Q10" s="15"/>
    </row>
    <row r="11" spans="2:17" x14ac:dyDescent="0.25">
      <c r="B11" s="16" t="s">
        <v>42</v>
      </c>
      <c r="C11" s="16">
        <v>10</v>
      </c>
      <c r="J11" s="50" t="s">
        <v>54</v>
      </c>
      <c r="K11" s="50"/>
      <c r="M11" s="15"/>
      <c r="N11" s="15"/>
      <c r="O11" s="15"/>
      <c r="P11" s="15"/>
      <c r="Q11" s="15"/>
    </row>
    <row r="12" spans="2:17" x14ac:dyDescent="0.25">
      <c r="B12" s="16" t="s">
        <v>43</v>
      </c>
      <c r="C12" s="16">
        <v>15</v>
      </c>
      <c r="F12" s="16" t="s">
        <v>27</v>
      </c>
      <c r="G12" s="25" t="s">
        <v>28</v>
      </c>
      <c r="J12" s="39" t="s">
        <v>34</v>
      </c>
      <c r="K12" s="40">
        <v>43</v>
      </c>
      <c r="M12" s="15"/>
      <c r="N12" s="15"/>
      <c r="O12" s="15"/>
      <c r="P12" s="15"/>
      <c r="Q12" s="15"/>
    </row>
    <row r="13" spans="2:17" x14ac:dyDescent="0.25">
      <c r="B13" s="16" t="s">
        <v>19</v>
      </c>
      <c r="C13" s="16">
        <v>50</v>
      </c>
      <c r="F13" s="16" t="s">
        <v>32</v>
      </c>
      <c r="G13" s="25" t="s">
        <v>33</v>
      </c>
      <c r="J13" s="39" t="s">
        <v>48</v>
      </c>
      <c r="K13" s="40">
        <v>25</v>
      </c>
      <c r="M13" s="15"/>
      <c r="N13" s="15"/>
      <c r="O13" s="15"/>
      <c r="P13" s="15"/>
      <c r="Q13" s="15"/>
    </row>
    <row r="14" spans="2:17" x14ac:dyDescent="0.25">
      <c r="F14" s="16" t="s">
        <v>22</v>
      </c>
      <c r="G14" s="16" t="s">
        <v>25</v>
      </c>
      <c r="J14" s="39" t="s">
        <v>35</v>
      </c>
      <c r="K14" s="40">
        <v>1216</v>
      </c>
      <c r="M14" s="15"/>
      <c r="N14" s="15"/>
      <c r="O14" s="15"/>
      <c r="P14" s="15"/>
      <c r="Q14" s="15"/>
    </row>
    <row r="15" spans="2:17" x14ac:dyDescent="0.25">
      <c r="F15" s="16" t="s">
        <v>29</v>
      </c>
      <c r="G15" s="16" t="s">
        <v>31</v>
      </c>
      <c r="J15" s="39" t="s">
        <v>49</v>
      </c>
      <c r="K15" s="40">
        <v>34</v>
      </c>
      <c r="M15" s="15"/>
      <c r="N15" s="15"/>
      <c r="O15" s="15"/>
      <c r="P15" s="15"/>
      <c r="Q15" s="15"/>
    </row>
    <row r="16" spans="2:17" x14ac:dyDescent="0.25">
      <c r="F16" s="16" t="s">
        <v>24</v>
      </c>
      <c r="G16" s="16" t="s">
        <v>23</v>
      </c>
      <c r="J16" s="39" t="s">
        <v>50</v>
      </c>
      <c r="K16" s="40">
        <v>13834</v>
      </c>
      <c r="M16" s="15"/>
      <c r="N16" s="15"/>
      <c r="O16" s="15"/>
      <c r="P16" s="15"/>
      <c r="Q16" s="15"/>
    </row>
    <row r="17" spans="6:17" x14ac:dyDescent="0.25">
      <c r="F17" s="16" t="s">
        <v>26</v>
      </c>
      <c r="G17" s="16" t="s">
        <v>30</v>
      </c>
      <c r="J17" s="39" t="s">
        <v>47</v>
      </c>
      <c r="K17" s="40">
        <v>15000</v>
      </c>
      <c r="M17" s="48"/>
      <c r="N17" s="15"/>
      <c r="O17" s="44"/>
      <c r="P17" s="15"/>
      <c r="Q17" s="15"/>
    </row>
    <row r="18" spans="6:17" x14ac:dyDescent="0.25">
      <c r="J18" s="39" t="s">
        <v>51</v>
      </c>
      <c r="K18" s="40">
        <v>5000</v>
      </c>
      <c r="M18" s="15"/>
      <c r="N18" s="15"/>
      <c r="O18" s="15"/>
      <c r="P18" s="15"/>
      <c r="Q18" s="15"/>
    </row>
    <row r="19" spans="6:17" x14ac:dyDescent="0.25">
      <c r="J19" s="39" t="s">
        <v>52</v>
      </c>
      <c r="K19" s="40">
        <v>5000</v>
      </c>
      <c r="M19" s="15"/>
      <c r="N19" s="15"/>
      <c r="O19" s="44"/>
      <c r="P19" s="15"/>
      <c r="Q19" s="15"/>
    </row>
    <row r="20" spans="6:17" x14ac:dyDescent="0.25">
      <c r="M20" s="15"/>
      <c r="N20" s="15"/>
      <c r="O20" s="44"/>
      <c r="P20" s="15"/>
      <c r="Q20" s="15"/>
    </row>
  </sheetData>
  <mergeCells count="4">
    <mergeCell ref="F5:G5"/>
    <mergeCell ref="B4:C4"/>
    <mergeCell ref="J11:K11"/>
    <mergeCell ref="J2:K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6B62D-3E26-4743-B614-0C55D48DE949}">
  <sheetPr codeName="Sheet3"/>
  <dimension ref="A1:K18"/>
  <sheetViews>
    <sheetView showGridLines="0" tabSelected="1" workbookViewId="0">
      <selection activeCell="G10" sqref="G10"/>
    </sheetView>
  </sheetViews>
  <sheetFormatPr defaultRowHeight="15" x14ac:dyDescent="0.25"/>
  <cols>
    <col min="1" max="1" width="13.28515625" style="19" customWidth="1"/>
    <col min="2" max="2" width="26.28515625" style="18" customWidth="1"/>
    <col min="3" max="3" width="1.5703125" style="34" customWidth="1"/>
    <col min="4" max="4" width="27.42578125" style="38" customWidth="1"/>
    <col min="5" max="5" width="1.5703125" style="34" customWidth="1"/>
    <col min="6" max="6" width="29" style="21" customWidth="1"/>
    <col min="7" max="7" width="12.28515625" style="19" customWidth="1"/>
    <col min="8" max="8" width="6.42578125" style="19" customWidth="1"/>
    <col min="9" max="9" width="9.140625" style="19"/>
    <col min="10" max="10" width="31.28515625" style="19" customWidth="1"/>
    <col min="11" max="16384" width="9.140625" style="19"/>
  </cols>
  <sheetData>
    <row r="1" spans="1:11" x14ac:dyDescent="0.25">
      <c r="A1" s="18"/>
      <c r="B1" s="30"/>
      <c r="D1" s="30"/>
      <c r="F1" s="30"/>
      <c r="G1" s="21"/>
      <c r="I1" s="18"/>
      <c r="J1" s="30"/>
      <c r="K1" s="21"/>
    </row>
    <row r="2" spans="1:11" ht="21" customHeight="1" x14ac:dyDescent="0.25">
      <c r="A2" s="18"/>
      <c r="B2" s="35"/>
      <c r="C2" s="35"/>
      <c r="D2" s="35"/>
      <c r="E2" s="35"/>
      <c r="F2" s="35"/>
      <c r="G2" s="21"/>
      <c r="I2" s="18"/>
      <c r="J2" s="26"/>
      <c r="K2" s="21"/>
    </row>
    <row r="3" spans="1:11" ht="27.75" customHeight="1" x14ac:dyDescent="0.25">
      <c r="A3" s="18"/>
      <c r="B3" s="36"/>
      <c r="C3" s="36"/>
      <c r="D3" s="36"/>
      <c r="E3" s="36"/>
      <c r="F3" s="43"/>
      <c r="G3" s="21"/>
      <c r="I3" s="18"/>
      <c r="J3" s="55"/>
      <c r="K3" s="21"/>
    </row>
    <row r="4" spans="1:11" x14ac:dyDescent="0.25">
      <c r="B4" s="32"/>
      <c r="D4" s="29"/>
      <c r="F4" s="33"/>
      <c r="I4" s="18"/>
      <c r="J4" s="55"/>
      <c r="K4" s="21"/>
    </row>
    <row r="5" spans="1:11" ht="25.5" customHeight="1" x14ac:dyDescent="0.25">
      <c r="I5" s="18"/>
      <c r="J5" s="55"/>
      <c r="K5" s="21"/>
    </row>
    <row r="6" spans="1:11" ht="24" customHeight="1" x14ac:dyDescent="0.25">
      <c r="B6" s="53"/>
      <c r="C6" s="37"/>
      <c r="D6" s="54"/>
      <c r="E6" s="37"/>
      <c r="J6" s="20"/>
    </row>
    <row r="7" spans="1:11" x14ac:dyDescent="0.25">
      <c r="B7" s="53"/>
      <c r="C7" s="37"/>
      <c r="D7" s="54"/>
      <c r="E7" s="37"/>
      <c r="J7" s="23"/>
    </row>
    <row r="8" spans="1:11" ht="21" customHeight="1" x14ac:dyDescent="0.25">
      <c r="I8" s="18"/>
      <c r="J8" s="28" t="s">
        <v>2</v>
      </c>
      <c r="K8" s="21"/>
    </row>
    <row r="9" spans="1:11" ht="23.25" customHeight="1" x14ac:dyDescent="0.25">
      <c r="B9" s="53"/>
      <c r="C9" s="37"/>
      <c r="D9" s="54"/>
      <c r="E9" s="37"/>
      <c r="I9" s="18"/>
      <c r="J9" s="27">
        <f>Lookup!$K$3</f>
        <v>10.75</v>
      </c>
      <c r="K9" s="21"/>
    </row>
    <row r="10" spans="1:11" ht="14.25" customHeight="1" x14ac:dyDescent="0.25">
      <c r="B10" s="53"/>
      <c r="C10" s="37"/>
      <c r="D10" s="54"/>
      <c r="E10" s="37"/>
      <c r="I10" s="18"/>
      <c r="J10" s="31"/>
      <c r="K10" s="21"/>
    </row>
    <row r="11" spans="1:11" ht="9.75" customHeight="1" x14ac:dyDescent="0.25">
      <c r="B11" s="53"/>
      <c r="C11" s="37"/>
      <c r="D11" s="54"/>
      <c r="E11" s="37"/>
      <c r="J11" s="22"/>
    </row>
    <row r="12" spans="1:11" ht="18" customHeight="1" x14ac:dyDescent="0.25">
      <c r="I12" s="18"/>
      <c r="J12" s="28" t="s">
        <v>12</v>
      </c>
      <c r="K12" s="21"/>
    </row>
    <row r="13" spans="1:11" ht="23.25" customHeight="1" x14ac:dyDescent="0.25">
      <c r="I13" s="18"/>
      <c r="J13" s="47">
        <f>Lookup!$K$4</f>
        <v>156864</v>
      </c>
      <c r="K13" s="21"/>
    </row>
    <row r="14" spans="1:11" ht="14.25" customHeight="1" x14ac:dyDescent="0.25">
      <c r="I14" s="18"/>
      <c r="J14" s="31"/>
      <c r="K14" s="21"/>
    </row>
    <row r="15" spans="1:11" ht="10.5" customHeight="1" x14ac:dyDescent="0.25">
      <c r="J15" s="22"/>
    </row>
    <row r="16" spans="1:11" ht="20.25" customHeight="1" x14ac:dyDescent="0.25">
      <c r="I16" s="18"/>
      <c r="J16" s="28" t="s">
        <v>13</v>
      </c>
      <c r="K16" s="21"/>
    </row>
    <row r="17" spans="9:11" ht="22.5" customHeight="1" x14ac:dyDescent="0.25">
      <c r="I17" s="18"/>
      <c r="J17" s="47">
        <f>Lookup!$K$6</f>
        <v>42750</v>
      </c>
      <c r="K17" s="21"/>
    </row>
    <row r="18" spans="9:11" x14ac:dyDescent="0.25">
      <c r="J18" s="20"/>
    </row>
  </sheetData>
  <mergeCells count="5">
    <mergeCell ref="B6:B7"/>
    <mergeCell ref="B9:B11"/>
    <mergeCell ref="D6:D7"/>
    <mergeCell ref="D9:D11"/>
    <mergeCell ref="J3:J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CEB8C-FC9B-457B-AC0C-497FE1AA5BC0}">
  <sheetPr codeName="Sheet5"/>
  <dimension ref="AB10:AH19"/>
  <sheetViews>
    <sheetView zoomScale="55" zoomScaleNormal="55" workbookViewId="0">
      <selection activeCell="AC13" sqref="AC13"/>
    </sheetView>
  </sheetViews>
  <sheetFormatPr defaultRowHeight="15" x14ac:dyDescent="0.25"/>
  <cols>
    <col min="28" max="28" width="21.42578125" bestFit="1" customWidth="1"/>
  </cols>
  <sheetData>
    <row r="10" spans="28:31" ht="23.25" x14ac:dyDescent="0.35">
      <c r="AB10" s="41"/>
      <c r="AC10" s="41"/>
      <c r="AD10" s="41"/>
      <c r="AE10" s="41"/>
    </row>
    <row r="11" spans="28:31" ht="23.25" x14ac:dyDescent="0.35">
      <c r="AB11" s="41"/>
      <c r="AC11" s="41"/>
      <c r="AD11" s="41"/>
      <c r="AE11" s="41"/>
    </row>
    <row r="12" spans="28:31" ht="23.25" x14ac:dyDescent="0.35">
      <c r="AB12" s="41"/>
      <c r="AC12" s="41"/>
      <c r="AD12" s="41"/>
      <c r="AE12" s="41"/>
    </row>
    <row r="13" spans="28:31" ht="23.25" x14ac:dyDescent="0.35">
      <c r="AB13" s="41"/>
      <c r="AC13" s="41"/>
      <c r="AD13" s="41"/>
      <c r="AE13" s="41"/>
    </row>
    <row r="14" spans="28:31" ht="23.25" x14ac:dyDescent="0.35">
      <c r="AB14" s="41"/>
      <c r="AC14" s="41"/>
      <c r="AD14" s="41"/>
      <c r="AE14" s="41"/>
    </row>
    <row r="15" spans="28:31" ht="23.25" x14ac:dyDescent="0.35">
      <c r="AB15" s="41"/>
      <c r="AC15" s="41"/>
      <c r="AD15" s="41"/>
      <c r="AE15" s="41"/>
    </row>
    <row r="16" spans="28:31" ht="23.25" x14ac:dyDescent="0.35">
      <c r="AB16" s="41"/>
      <c r="AC16" s="41"/>
      <c r="AD16" s="41"/>
      <c r="AE16" s="41"/>
    </row>
    <row r="17" spans="28:34" ht="23.25" x14ac:dyDescent="0.35">
      <c r="AB17" s="41" t="s">
        <v>47</v>
      </c>
      <c r="AC17" s="41">
        <v>1600</v>
      </c>
      <c r="AD17" s="41">
        <v>1400</v>
      </c>
      <c r="AE17" s="42">
        <v>0.45</v>
      </c>
      <c r="AG17" s="41">
        <v>200</v>
      </c>
      <c r="AH17" s="41">
        <v>25</v>
      </c>
    </row>
    <row r="18" spans="28:34" ht="23.25" x14ac:dyDescent="0.35">
      <c r="AB18" s="41" t="s">
        <v>51</v>
      </c>
      <c r="AC18" s="41">
        <v>200</v>
      </c>
      <c r="AD18" s="41"/>
      <c r="AE18" s="41"/>
    </row>
    <row r="19" spans="28:34" ht="23.25" x14ac:dyDescent="0.35">
      <c r="AB19" s="41" t="s">
        <v>52</v>
      </c>
      <c r="AC19" s="41">
        <v>200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C55D2-C0F7-4055-81DD-2C6249D7819C}">
  <sheetPr codeName="Sheet4"/>
  <dimension ref="A1"/>
  <sheetViews>
    <sheetView topLeftCell="A4" workbookViewId="0">
      <selection activeCell="O17" sqref="O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A7D9B-1D5A-47D5-9206-EF6CF93C2948}">
  <sheetPr codeName="Sheet6"/>
  <dimension ref="A1"/>
  <sheetViews>
    <sheetView workbookViewId="0">
      <selection activeCell="N13" sqref="N1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Lookup</vt:lpstr>
      <vt:lpstr>ROI Calculator</vt:lpstr>
      <vt:lpstr>Sheet7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Gagandeep Chawla</dc:creator>
  <cp:lastModifiedBy>Gagandeep Chawla</cp:lastModifiedBy>
  <dcterms:created xsi:type="dcterms:W3CDTF">2021-02-01T07:43:32Z</dcterms:created>
  <dcterms:modified xsi:type="dcterms:W3CDTF">2021-02-22T08:37:10Z</dcterms:modified>
</cp:coreProperties>
</file>